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se corregida" sheetId="1" state="visible" r:id="rId1"/>
    <sheet name="Correcciones realizadas" sheetId="2" state="visible" r:id="rId2"/>
    <sheet name="Pendientes" sheetId="3" state="visible" r:id="rId3"/>
    <sheet name="Resumen" sheetId="4" state="visible" r:id="rId4"/>
    <sheet name="Usuarios por rol" sheetId="5" state="visible" r:id="rId5"/>
    <sheet name="Usuarios por cargo" sheetId="6" state="visible" r:id="rId6"/>
    <sheet name="YPF y contratistas" sheetId="7" state="visible" r:id="rId7"/>
    <sheet name="Por fech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"/>
    <numFmt numFmtId="166" formatCode="dd/mm/yyyy hh:mm:ss"/>
    <numFmt numFmtId="167" formatCode="dd/mm/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375623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Usuarios por rol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'Usuarios por rol'!B1</f>
            </strRef>
          </tx>
          <spPr>
            <a:ln>
              <a:prstDash val="solid"/>
            </a:ln>
          </spPr>
          <cat>
            <numRef>
              <f>'Usuarios por rol'!$A$2:$A$6</f>
            </numRef>
          </cat>
          <val>
            <numRef>
              <f>'Usuarios por rol'!$B$2:$B$6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tipo de personal</a:t>
            </a:r>
          </a:p>
        </rich>
      </tx>
    </title>
    <plotArea>
      <pieChart>
        <varyColors val="1"/>
        <ser>
          <idx val="0"/>
          <order val="0"/>
          <tx>
            <strRef>
              <f>'YPF y contratistas'!B1</f>
            </strRef>
          </tx>
          <spPr>
            <a:ln>
              <a:prstDash val="solid"/>
            </a:ln>
          </spPr>
          <cat>
            <numRef>
              <f>'YPF y contratistas'!$A$2:$A$3</f>
            </numRef>
          </cat>
          <val>
            <numRef>
              <f>'YPF y contratistas'!$B$2:$B$3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Capacitaciones por fecha</a:t>
            </a:r>
          </a:p>
        </rich>
      </tx>
    </title>
    <plotArea>
      <lineChart>
        <grouping val="standard"/>
        <ser>
          <idx val="0"/>
          <order val="0"/>
          <tx>
            <strRef>
              <f>'Por fecha'!B1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 fecha'!$A$2:$A$8</f>
            </numRef>
          </cat>
          <val>
            <numRef>
              <f>'Por fecha'!$B$2:$B$8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Usuarios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aBaseCorregida" displayName="TablaBaseCorregida" ref="A1:U8" headerRowCount="1">
  <autoFilter ref="A1:U8"/>
  <tableColumns count="21">
    <tableColumn id="1" name="ID"/>
    <tableColumn id="2" name="Inicio original"/>
    <tableColumn id="3" name="Inicio"/>
    <tableColumn id="4" name="Fin"/>
    <tableColumn id="5" name="Apellido"/>
    <tableColumn id="6" name="Nombre"/>
    <tableColumn id="7" name="DNI"/>
    <tableColumn id="8" name="Fecha capacitación"/>
    <tableColumn id="9" name="Complejo"/>
    <tableColumn id="10" name="Cargo"/>
    <tableColumn id="11" name="Tipo personal"/>
    <tableColumn id="12" name="Tipo personal corregido"/>
    <tableColumn id="13" name="Rol asignado"/>
    <tableColumn id="14" name="Módulos originales"/>
    <tableColumn id="15" name="Módulos esperados"/>
    <tableColumn id="16" name="Módulos corregidos"/>
    <tableColumn id="17" name="Cantidad de registros"/>
    <tableColumn id="18" name="Fecha corregida"/>
    <tableColumn id="19" name="Regla aplicada"/>
    <tableColumn id="20" name="Corrección realizada"/>
    <tableColumn id="21" name="Estad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Correcciones" displayName="TablaCorrecciones" ref="A1:U8" headerRowCount="1">
  <autoFilter ref="A1:U8"/>
  <tableColumns count="21">
    <tableColumn id="1" name="ID"/>
    <tableColumn id="2" name="Inicio original"/>
    <tableColumn id="3" name="Inicio"/>
    <tableColumn id="4" name="Fin"/>
    <tableColumn id="5" name="Apellido"/>
    <tableColumn id="6" name="Nombre"/>
    <tableColumn id="7" name="DNI"/>
    <tableColumn id="8" name="Fecha capacitación"/>
    <tableColumn id="9" name="Complejo"/>
    <tableColumn id="10" name="Cargo"/>
    <tableColumn id="11" name="Tipo personal"/>
    <tableColumn id="12" name="Módulos originales"/>
    <tableColumn id="13" name="Cantidad de registros"/>
    <tableColumn id="14" name="Fecha corregida"/>
    <tableColumn id="15" name="Rol asignado"/>
    <tableColumn id="16" name="Módulos esperados"/>
    <tableColumn id="17" name="Regla aplicada"/>
    <tableColumn id="18" name="Tipo personal corregido"/>
    <tableColumn id="19" name="Módulos corregidos"/>
    <tableColumn id="20" name="Corrección realizada"/>
    <tableColumn id="21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Resumen" displayName="TablaResumen" ref="A1:B10" headerRowCount="1">
  <autoFilter ref="A1:B10"/>
  <tableColumns count="2">
    <tableColumn id="1" name="Indicador"/>
    <tableColumn id="2" name="Cantida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UsuariosRol" displayName="TablaUsuariosRol" ref="A1:B6" headerRowCount="1">
  <autoFilter ref="A1:B6"/>
  <tableColumns count="2">
    <tableColumn id="1" name="Rol asignado"/>
    <tableColumn id="2" name="Cantida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UsuariosCargo" displayName="TablaUsuariosCargo" ref="A1:B8" headerRowCount="1">
  <autoFilter ref="A1:B8"/>
  <tableColumns count="2">
    <tableColumn id="1" name="Cargo"/>
    <tableColumn id="2" name="Cantida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TipoPersonal" displayName="TablaTipoPersonal" ref="A1:B3" headerRowCount="1">
  <autoFilter ref="A1:B3"/>
  <tableColumns count="2">
    <tableColumn id="1" name="Tipo personal"/>
    <tableColumn id="2" name="Cantida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PorFecha" displayName="TablaPorFecha" ref="A1:B8" headerRowCount="1">
  <autoFilter ref="A1:B8"/>
  <tableColumns count="2">
    <tableColumn id="1" name="Fecha"/>
    <tableColumn id="2" name="Cantid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6.xml" Id="rId2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2" customWidth="1" min="3" max="3"/>
    <col width="22" customWidth="1" min="4" max="4"/>
    <col width="12" customWidth="1" min="5" max="5"/>
    <col width="11" customWidth="1" min="6" max="6"/>
    <col width="11" customWidth="1" min="7" max="7"/>
    <col width="22" customWidth="1" min="8" max="8"/>
    <col width="11" customWidth="1" min="9" max="9"/>
    <col width="26" customWidth="1" min="10" max="10"/>
    <col width="22" customWidth="1" min="11" max="11"/>
    <col width="26" customWidth="1" min="12" max="12"/>
    <col width="24" customWidth="1" min="13" max="13"/>
    <col width="55" customWidth="1" min="14" max="14"/>
    <col width="55" customWidth="1" min="15" max="15"/>
    <col width="55" customWidth="1" min="16" max="16"/>
    <col width="24" customWidth="1" min="17" max="17"/>
    <col width="18" customWidth="1" min="18" max="18"/>
    <col width="55" customWidth="1" min="19" max="19"/>
    <col width="55" customWidth="1" min="20" max="20"/>
    <col width="9" customWidth="1" min="21" max="21"/>
  </cols>
  <sheetData>
    <row r="1" ht="32" customHeight="1">
      <c r="A1" s="3" t="inlineStr">
        <is>
          <t>ID</t>
        </is>
      </c>
      <c r="B1" s="3" t="inlineStr">
        <is>
          <t>Inicio original</t>
        </is>
      </c>
      <c r="C1" s="3" t="inlineStr">
        <is>
          <t>Inicio</t>
        </is>
      </c>
      <c r="D1" s="3" t="inlineStr">
        <is>
          <t>Fin</t>
        </is>
      </c>
      <c r="E1" s="3" t="inlineStr">
        <is>
          <t>Apellido</t>
        </is>
      </c>
      <c r="F1" s="3" t="inlineStr">
        <is>
          <t>Nombre</t>
        </is>
      </c>
      <c r="G1" s="3" t="inlineStr">
        <is>
          <t>DNI</t>
        </is>
      </c>
      <c r="H1" s="3" t="inlineStr">
        <is>
          <t>Fecha capacitación</t>
        </is>
      </c>
      <c r="I1" s="3" t="inlineStr">
        <is>
          <t>Complejo</t>
        </is>
      </c>
      <c r="J1" s="3" t="inlineStr">
        <is>
          <t>Cargo</t>
        </is>
      </c>
      <c r="K1" s="3" t="inlineStr">
        <is>
          <t>Tipo personal</t>
        </is>
      </c>
      <c r="L1" s="3" t="inlineStr">
        <is>
          <t>Tipo personal corregido</t>
        </is>
      </c>
      <c r="M1" s="3" t="inlineStr">
        <is>
          <t>Rol asignado</t>
        </is>
      </c>
      <c r="N1" s="3" t="inlineStr">
        <is>
          <t>Módulos originales</t>
        </is>
      </c>
      <c r="O1" s="3" t="inlineStr">
        <is>
          <t>Módulos esperados</t>
        </is>
      </c>
      <c r="P1" s="3" t="inlineStr">
        <is>
          <t>Módulos corregidos</t>
        </is>
      </c>
      <c r="Q1" s="3" t="inlineStr">
        <is>
          <t>Cantidad de registros</t>
        </is>
      </c>
      <c r="R1" s="3" t="inlineStr">
        <is>
          <t>Fecha corregida</t>
        </is>
      </c>
      <c r="S1" s="3" t="inlineStr">
        <is>
          <t>Regla aplicada</t>
        </is>
      </c>
      <c r="T1" s="3" t="inlineStr">
        <is>
          <t>Corrección realizada</t>
        </is>
      </c>
      <c r="U1" s="3" t="inlineStr">
        <is>
          <t>Estado</t>
        </is>
      </c>
    </row>
    <row r="2">
      <c r="A2" s="4" t="inlineStr">
        <is>
          <t>6</t>
        </is>
      </c>
      <c r="B2" s="5" t="n">
        <v>46206.4625</v>
      </c>
      <c r="C2" s="5" t="n">
        <v>46206.4625</v>
      </c>
      <c r="D2" s="5" t="n">
        <v>46206.46527777778</v>
      </c>
      <c r="E2" s="4" t="inlineStr">
        <is>
          <t>Fernández</t>
        </is>
      </c>
      <c r="F2" s="4" t="inlineStr">
        <is>
          <t>Diego</t>
        </is>
      </c>
      <c r="G2" s="4" t="inlineStr">
        <is>
          <t>28777888</t>
        </is>
      </c>
      <c r="H2" s="6" t="n">
        <v>46206</v>
      </c>
      <c r="I2" s="4" t="inlineStr">
        <is>
          <t>CILC</t>
        </is>
      </c>
      <c r="J2" s="4" t="inlineStr">
        <is>
          <t>Representante Técnico</t>
        </is>
      </c>
      <c r="K2" s="4" t="inlineStr"/>
      <c r="L2" s="4" t="inlineStr">
        <is>
          <t>Contratista</t>
        </is>
      </c>
      <c r="M2" s="4" t="inlineStr">
        <is>
          <t>Ejecutante</t>
        </is>
      </c>
      <c r="N2" s="4" t="inlineStr">
        <is>
          <t>Módulo 1| Introducción, matriz, categorización de tareas, procesos; Módulo 4| PeTra- ejecutante;</t>
        </is>
      </c>
      <c r="O2" s="4" t="inlineStr">
        <is>
          <t>Módulo 1| Introducción, matriz, categorización de tareas, procesos; Módulo 4| PeTra- ejecutante;</t>
        </is>
      </c>
      <c r="P2" s="4" t="inlineStr">
        <is>
          <t>Módulo 1| Introducción, matriz, categorización de tareas, procesos; Módulo 4| PeTra- ejecutante;</t>
        </is>
      </c>
      <c r="Q2" s="4" t="n">
        <v>2</v>
      </c>
      <c r="R2" s="4" t="inlineStr">
        <is>
          <t>No</t>
        </is>
      </c>
      <c r="S2" s="4" t="inlineStr">
        <is>
          <t>Representante Técnico: se infiere personal contratista y se asigna Ejecutante</t>
        </is>
      </c>
      <c r="T2" s="4" t="inlineStr">
        <is>
          <t>Se consolidaron 2 registros</t>
        </is>
      </c>
      <c r="U2" s="7" t="inlineStr">
        <is>
          <t>OK</t>
        </is>
      </c>
    </row>
    <row r="3">
      <c r="A3" s="4" t="inlineStr">
        <is>
          <t>4</t>
        </is>
      </c>
      <c r="B3" s="5" t="n">
        <v>46205.42013888889</v>
      </c>
      <c r="C3" s="5" t="n">
        <v>46205.42013888889</v>
      </c>
      <c r="D3" s="5" t="n">
        <v>46205.42291666667</v>
      </c>
      <c r="E3" s="4" t="inlineStr">
        <is>
          <t>Gómez</t>
        </is>
      </c>
      <c r="F3" s="4" t="inlineStr">
        <is>
          <t>Laura</t>
        </is>
      </c>
      <c r="G3" s="4" t="inlineStr">
        <is>
          <t>32444555</t>
        </is>
      </c>
      <c r="H3" s="6" t="n">
        <v>46205</v>
      </c>
      <c r="I3" s="4" t="inlineStr">
        <is>
          <t>CILC</t>
        </is>
      </c>
      <c r="J3" s="4" t="inlineStr">
        <is>
          <t>Supervisor</t>
        </is>
      </c>
      <c r="K3" s="4" t="inlineStr">
        <is>
          <t>Personal propio YPF</t>
        </is>
      </c>
      <c r="L3" s="4" t="inlineStr">
        <is>
          <t>Personal propio YPF</t>
        </is>
      </c>
      <c r="M3" s="4" t="inlineStr">
        <is>
          <t>Autorizante</t>
        </is>
      </c>
      <c r="N3" s="4" t="inlineStr">
        <is>
          <t>Módulo 1| Introducción, matriz, categorización de tareas, procesos; Módulo 4| PeTra-autorizante;</t>
        </is>
      </c>
      <c r="O3" s="4" t="inlineStr">
        <is>
          <t>Módulo 1| Introducción, matriz, categorización de tareas, procesos; Módulo 4| PeTra- autorizante;</t>
        </is>
      </c>
      <c r="P3" s="4" t="inlineStr">
        <is>
          <t>Módulo 1| Introducción, matriz, categorización de tareas, procesos; Módulo 4| PeTra- autorizante;</t>
        </is>
      </c>
      <c r="Q3" s="4" t="n">
        <v>2</v>
      </c>
      <c r="R3" s="4" t="inlineStr">
        <is>
          <t>No</t>
        </is>
      </c>
      <c r="S3" s="4" t="inlineStr">
        <is>
          <t>Personal propio YPF: SUPERVISOR</t>
        </is>
      </c>
      <c r="T3" s="4" t="inlineStr">
        <is>
          <t>Se consolidaron 2 registros | Se completaron o reemplazaron los módulos según el rol asignado</t>
        </is>
      </c>
      <c r="U3" s="7" t="inlineStr">
        <is>
          <t>OK</t>
        </is>
      </c>
    </row>
    <row r="4">
      <c r="A4" s="4" t="inlineStr">
        <is>
          <t>7</t>
        </is>
      </c>
      <c r="B4" s="5" t="n">
        <v>46207.35416666666</v>
      </c>
      <c r="C4" s="5" t="n">
        <v>46207.35416666666</v>
      </c>
      <c r="D4" s="5" t="n">
        <v>46207.35763888889</v>
      </c>
      <c r="E4" s="4" t="inlineStr">
        <is>
          <t>López</t>
        </is>
      </c>
      <c r="F4" s="4" t="inlineStr">
        <is>
          <t>Carolina</t>
        </is>
      </c>
      <c r="G4" s="4" t="inlineStr">
        <is>
          <t>35666777</t>
        </is>
      </c>
      <c r="H4" s="6" t="n">
        <v>46207</v>
      </c>
      <c r="I4" s="4" t="inlineStr">
        <is>
          <t>CILC</t>
        </is>
      </c>
      <c r="J4" s="4" t="inlineStr">
        <is>
          <t>Mecánica</t>
        </is>
      </c>
      <c r="K4" s="4" t="inlineStr">
        <is>
          <t>Personal propio YPF</t>
        </is>
      </c>
      <c r="L4" s="4" t="inlineStr">
        <is>
          <t>Personal propio YPF</t>
        </is>
      </c>
      <c r="M4" s="4" t="inlineStr">
        <is>
          <t>Solicitante</t>
        </is>
      </c>
      <c r="N4" s="4" t="inlineStr">
        <is>
          <t>Módulo 1| Introducción, matriz, categorización de tareas, procesos;</t>
        </is>
      </c>
      <c r="O4" s="4" t="inlineStr">
        <is>
          <t>Módulo 1| Introducción, matriz, categorización de tareas, procesos; Módulo 4| PeTra- solicitante;</t>
        </is>
      </c>
      <c r="P4" s="4" t="inlineStr">
        <is>
          <t>Módulo 1| Introducción, matriz, categorización de tareas, procesos; Módulo 4| PeTra- solicitante;</t>
        </is>
      </c>
      <c r="Q4" s="4" t="n">
        <v>1</v>
      </c>
      <c r="R4" s="4" t="inlineStr">
        <is>
          <t>No</t>
        </is>
      </c>
      <c r="S4" s="4" t="inlineStr">
        <is>
          <t>Personal propio YPF: MECANICA</t>
        </is>
      </c>
      <c r="T4" s="4" t="inlineStr">
        <is>
          <t>Se completaron o reemplazaron los módulos según el rol asignado</t>
        </is>
      </c>
      <c r="U4" s="7" t="inlineStr">
        <is>
          <t>OK</t>
        </is>
      </c>
    </row>
    <row r="5">
      <c r="A5" s="4" t="inlineStr">
        <is>
          <t>2</t>
        </is>
      </c>
      <c r="B5" s="5" t="n">
        <v>46204.37916666667</v>
      </c>
      <c r="C5" s="5" t="n">
        <v>46204.37916666667</v>
      </c>
      <c r="D5" s="5" t="n">
        <v>46204.38194444445</v>
      </c>
      <c r="E5" s="4" t="inlineStr">
        <is>
          <t>Pérez</t>
        </is>
      </c>
      <c r="F5" s="4" t="inlineStr">
        <is>
          <t>Martín</t>
        </is>
      </c>
      <c r="G5" s="4" t="inlineStr">
        <is>
          <t>30111222</t>
        </is>
      </c>
      <c r="H5" s="6" t="n">
        <v>46204</v>
      </c>
      <c r="I5" s="4" t="inlineStr">
        <is>
          <t>CILC</t>
        </is>
      </c>
      <c r="J5" s="4" t="inlineStr">
        <is>
          <t>Operador de Campo</t>
        </is>
      </c>
      <c r="K5" s="4" t="inlineStr">
        <is>
          <t>Personal propio YPF</t>
        </is>
      </c>
      <c r="L5" s="4" t="inlineStr">
        <is>
          <t>Personal propio YPF</t>
        </is>
      </c>
      <c r="M5" s="4" t="inlineStr">
        <is>
          <t>Emisor</t>
        </is>
      </c>
      <c r="N5" s="4" t="inlineStr">
        <is>
          <t>Módulo 1| Introducción, matriz, categorización de tareas, procesos; Módulo 4| PeTra-emisor;</t>
        </is>
      </c>
      <c r="O5" s="4" t="inlineStr">
        <is>
          <t>Módulo 1| Introducción, matriz, categorización de tareas, procesos; Módulo 4| PeTra-emisor;</t>
        </is>
      </c>
      <c r="P5" s="4" t="inlineStr">
        <is>
          <t>Módulo 1| Introducción, matriz, categorización de tareas, procesos; Módulo 4| PeTra-emisor;</t>
        </is>
      </c>
      <c r="Q5" s="4" t="n">
        <v>2</v>
      </c>
      <c r="R5" s="4" t="inlineStr">
        <is>
          <t>No</t>
        </is>
      </c>
      <c r="S5" s="4" t="inlineStr">
        <is>
          <t>Personal propio YPF: OPERADOR DE CAMPO</t>
        </is>
      </c>
      <c r="T5" s="4" t="inlineStr">
        <is>
          <t>Se consolidaron 2 registros</t>
        </is>
      </c>
      <c r="U5" s="7" t="inlineStr">
        <is>
          <t>OK</t>
        </is>
      </c>
    </row>
    <row r="6">
      <c r="A6" s="4" t="inlineStr">
        <is>
          <t>9</t>
        </is>
      </c>
      <c r="B6" s="5" t="n">
        <v>46209.625</v>
      </c>
      <c r="C6" s="5" t="n">
        <v>46209.625</v>
      </c>
      <c r="D6" s="5" t="n">
        <v>46209.62847222222</v>
      </c>
      <c r="E6" s="4" t="inlineStr">
        <is>
          <t>Ramírez</t>
        </is>
      </c>
      <c r="F6" s="4" t="inlineStr">
        <is>
          <t>Julieta</t>
        </is>
      </c>
      <c r="G6" s="4" t="inlineStr">
        <is>
          <t>37123456</t>
        </is>
      </c>
      <c r="H6" s="6" t="n">
        <v>46209</v>
      </c>
      <c r="I6" s="4" t="inlineStr">
        <is>
          <t>CILC</t>
        </is>
      </c>
      <c r="J6" s="4" t="inlineStr">
        <is>
          <t>Obra civil</t>
        </is>
      </c>
      <c r="K6" s="4" t="inlineStr">
        <is>
          <t>Personal propio YPF</t>
        </is>
      </c>
      <c r="L6" s="4" t="inlineStr">
        <is>
          <t>Personal propio YPF</t>
        </is>
      </c>
      <c r="M6" s="4" t="inlineStr">
        <is>
          <t>Solicitante</t>
        </is>
      </c>
      <c r="N6" s="4" t="inlineStr">
        <is>
          <t>Módulo 1| Introducción, matriz, categorización de tareas, procesos;</t>
        </is>
      </c>
      <c r="O6" s="4" t="inlineStr">
        <is>
          <t>Módulo 1| Introducción, matriz, categorización de tareas, procesos; Módulo 4| PeTra- solicitante;</t>
        </is>
      </c>
      <c r="P6" s="4" t="inlineStr">
        <is>
          <t>Módulo 1| Introducción, matriz, categorización de tareas, procesos; Módulo 4| PeTra- solicitante;</t>
        </is>
      </c>
      <c r="Q6" s="4" t="n">
        <v>1</v>
      </c>
      <c r="R6" s="4" t="inlineStr">
        <is>
          <t>No</t>
        </is>
      </c>
      <c r="S6" s="4" t="inlineStr">
        <is>
          <t>Personal propio YPF: OBRA CIVIL</t>
        </is>
      </c>
      <c r="T6" s="4" t="inlineStr">
        <is>
          <t>Se completaron o reemplazaron los módulos según el rol asignado</t>
        </is>
      </c>
      <c r="U6" s="7" t="inlineStr">
        <is>
          <t>OK</t>
        </is>
      </c>
    </row>
    <row r="7">
      <c r="A7" s="4" t="inlineStr">
        <is>
          <t>8</t>
        </is>
      </c>
      <c r="B7" s="5" t="n">
        <v>46208.58333333334</v>
      </c>
      <c r="C7" s="5" t="n">
        <v>46208.58333333334</v>
      </c>
      <c r="D7" s="5" t="n">
        <v>46208.58680555555</v>
      </c>
      <c r="E7" s="4" t="inlineStr">
        <is>
          <t>Sosa</t>
        </is>
      </c>
      <c r="F7" s="4" t="inlineStr">
        <is>
          <t>Nicolás</t>
        </is>
      </c>
      <c r="G7" s="4" t="inlineStr">
        <is>
          <t>33888999</t>
        </is>
      </c>
      <c r="H7" s="6" t="n">
        <v>46208</v>
      </c>
      <c r="I7" s="4" t="inlineStr">
        <is>
          <t>CILC</t>
        </is>
      </c>
      <c r="J7" s="4" t="inlineStr">
        <is>
          <t>Analista Medio ambiente</t>
        </is>
      </c>
      <c r="K7" s="4" t="inlineStr">
        <is>
          <t>Personal propio YPF</t>
        </is>
      </c>
      <c r="L7" s="4" t="inlineStr">
        <is>
          <t>Personal propio YPF</t>
        </is>
      </c>
      <c r="M7" s="4" t="inlineStr">
        <is>
          <t>Analista de Seguridad</t>
        </is>
      </c>
      <c r="N7" s="4" t="inlineStr">
        <is>
          <t>Módulo 1| Introducción, matriz, categorización de tareas, procesos;</t>
        </is>
      </c>
      <c r="O7" s="4" t="inlineStr">
        <is>
          <t>Módulo 1| Introducción, matriz, categorización de tareas, procesos; Módulo 4| PeTra- analista de gases;</t>
        </is>
      </c>
      <c r="P7" s="4" t="inlineStr">
        <is>
          <t>Módulo 1| Introducción, matriz, categorización de tareas, procesos; Módulo 4| PeTra- analista de gases;</t>
        </is>
      </c>
      <c r="Q7" s="4" t="n">
        <v>1</v>
      </c>
      <c r="R7" s="4" t="inlineStr">
        <is>
          <t>No</t>
        </is>
      </c>
      <c r="S7" s="4" t="inlineStr">
        <is>
          <t>Personal propio YPF: ANALISTA DE SEGURIDAD</t>
        </is>
      </c>
      <c r="T7" s="4" t="inlineStr">
        <is>
          <t>Se completaron o reemplazaron los módulos según el rol asignado</t>
        </is>
      </c>
      <c r="U7" s="7" t="inlineStr">
        <is>
          <t>OK</t>
        </is>
      </c>
    </row>
    <row r="8">
      <c r="A8" s="4" t="inlineStr">
        <is>
          <t>10</t>
        </is>
      </c>
      <c r="B8" s="5" t="n">
        <v>46210.66666666666</v>
      </c>
      <c r="C8" s="5" t="n">
        <v>46210.66666666666</v>
      </c>
      <c r="D8" s="5" t="n">
        <v>46210.67013888889</v>
      </c>
      <c r="E8" s="4" t="inlineStr">
        <is>
          <t>Torres</t>
        </is>
      </c>
      <c r="F8" s="4" t="inlineStr">
        <is>
          <t>Andrés</t>
        </is>
      </c>
      <c r="G8" s="4" t="inlineStr">
        <is>
          <t>26987654</t>
        </is>
      </c>
      <c r="H8" s="6" t="n">
        <v>46210</v>
      </c>
      <c r="I8" s="4" t="inlineStr">
        <is>
          <t>CILC</t>
        </is>
      </c>
      <c r="J8" s="4" t="inlineStr">
        <is>
          <t>Administrador de obra</t>
        </is>
      </c>
      <c r="K8" s="4" t="inlineStr"/>
      <c r="L8" s="4" t="inlineStr">
        <is>
          <t>Personal propio YPF</t>
        </is>
      </c>
      <c r="M8" s="4" t="inlineStr">
        <is>
          <t>Solicitante</t>
        </is>
      </c>
      <c r="N8" s="4" t="inlineStr">
        <is>
          <t>Módulo 1| Introducción, matriz, categorización de tareas, procesos;</t>
        </is>
      </c>
      <c r="O8" s="4" t="inlineStr">
        <is>
          <t>Módulo 1| Introducción, matriz, categorización de tareas, procesos; Módulo 4| PeTra- solicitante;</t>
        </is>
      </c>
      <c r="P8" s="4" t="inlineStr">
        <is>
          <t>Módulo 1| Introducción, matriz, categorización de tareas, procesos; Módulo 4| PeTra- solicitante;</t>
        </is>
      </c>
      <c r="Q8" s="4" t="n">
        <v>1</v>
      </c>
      <c r="R8" s="4" t="inlineStr">
        <is>
          <t>No</t>
        </is>
      </c>
      <c r="S8" s="4" t="inlineStr">
        <is>
          <t>Empleador vacío: se infiere personal propio YPF por cargo reconocido: ADMINISTRADOR DE OBRA</t>
        </is>
      </c>
      <c r="T8" s="4" t="inlineStr">
        <is>
          <t>Se completaron o reemplazaron los módulos según el rol asignado</t>
        </is>
      </c>
      <c r="U8" s="7" t="inlineStr">
        <is>
          <t>OK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2" customWidth="1" min="3" max="3"/>
    <col width="22" customWidth="1" min="4" max="4"/>
    <col width="12" customWidth="1" min="5" max="5"/>
    <col width="11" customWidth="1" min="6" max="6"/>
    <col width="11" customWidth="1" min="7" max="7"/>
    <col width="22" customWidth="1" min="8" max="8"/>
    <col width="11" customWidth="1" min="9" max="9"/>
    <col width="26" customWidth="1" min="10" max="10"/>
    <col width="22" customWidth="1" min="11" max="11"/>
    <col width="55" customWidth="1" min="12" max="12"/>
    <col width="24" customWidth="1" min="13" max="13"/>
    <col width="18" customWidth="1" min="14" max="14"/>
    <col width="24" customWidth="1" min="15" max="15"/>
    <col width="55" customWidth="1" min="16" max="16"/>
    <col width="55" customWidth="1" min="17" max="17"/>
    <col width="26" customWidth="1" min="18" max="18"/>
    <col width="55" customWidth="1" min="19" max="19"/>
    <col width="55" customWidth="1" min="20" max="20"/>
    <col width="9" customWidth="1" min="21" max="21"/>
  </cols>
  <sheetData>
    <row r="1" ht="32" customHeight="1">
      <c r="A1" s="3" t="inlineStr">
        <is>
          <t>ID</t>
        </is>
      </c>
      <c r="B1" s="3" t="inlineStr">
        <is>
          <t>Inicio original</t>
        </is>
      </c>
      <c r="C1" s="3" t="inlineStr">
        <is>
          <t>Inicio</t>
        </is>
      </c>
      <c r="D1" s="3" t="inlineStr">
        <is>
          <t>Fin</t>
        </is>
      </c>
      <c r="E1" s="3" t="inlineStr">
        <is>
          <t>Apellido</t>
        </is>
      </c>
      <c r="F1" s="3" t="inlineStr">
        <is>
          <t>Nombre</t>
        </is>
      </c>
      <c r="G1" s="3" t="inlineStr">
        <is>
          <t>DNI</t>
        </is>
      </c>
      <c r="H1" s="3" t="inlineStr">
        <is>
          <t>Fecha capacitación</t>
        </is>
      </c>
      <c r="I1" s="3" t="inlineStr">
        <is>
          <t>Complejo</t>
        </is>
      </c>
      <c r="J1" s="3" t="inlineStr">
        <is>
          <t>Cargo</t>
        </is>
      </c>
      <c r="K1" s="3" t="inlineStr">
        <is>
          <t>Tipo personal</t>
        </is>
      </c>
      <c r="L1" s="3" t="inlineStr">
        <is>
          <t>Módulos originales</t>
        </is>
      </c>
      <c r="M1" s="3" t="inlineStr">
        <is>
          <t>Cantidad de registros</t>
        </is>
      </c>
      <c r="N1" s="3" t="inlineStr">
        <is>
          <t>Fecha corregida</t>
        </is>
      </c>
      <c r="O1" s="3" t="inlineStr">
        <is>
          <t>Rol asignado</t>
        </is>
      </c>
      <c r="P1" s="3" t="inlineStr">
        <is>
          <t>Módulos esperados</t>
        </is>
      </c>
      <c r="Q1" s="3" t="inlineStr">
        <is>
          <t>Regla aplicada</t>
        </is>
      </c>
      <c r="R1" s="3" t="inlineStr">
        <is>
          <t>Tipo personal corregido</t>
        </is>
      </c>
      <c r="S1" s="3" t="inlineStr">
        <is>
          <t>Módulos corregidos</t>
        </is>
      </c>
      <c r="T1" s="3" t="inlineStr">
        <is>
          <t>Corrección realizada</t>
        </is>
      </c>
      <c r="U1" s="3" t="inlineStr">
        <is>
          <t>Estado</t>
        </is>
      </c>
    </row>
    <row r="2">
      <c r="A2" s="4" t="inlineStr">
        <is>
          <t>6</t>
        </is>
      </c>
      <c r="B2" s="5" t="n">
        <v>46206.4625</v>
      </c>
      <c r="C2" s="5" t="n">
        <v>46206.4625</v>
      </c>
      <c r="D2" s="5" t="n">
        <v>46206.46527777778</v>
      </c>
      <c r="E2" s="4" t="inlineStr">
        <is>
          <t>Fernández</t>
        </is>
      </c>
      <c r="F2" s="4" t="inlineStr">
        <is>
          <t>Diego</t>
        </is>
      </c>
      <c r="G2" s="4" t="inlineStr">
        <is>
          <t>28777888</t>
        </is>
      </c>
      <c r="H2" s="6" t="n">
        <v>46206</v>
      </c>
      <c r="I2" s="4" t="inlineStr">
        <is>
          <t>CILC</t>
        </is>
      </c>
      <c r="J2" s="4" t="inlineStr">
        <is>
          <t>Representante Técnico</t>
        </is>
      </c>
      <c r="K2" s="4" t="inlineStr"/>
      <c r="L2" s="4" t="inlineStr">
        <is>
          <t>Módulo 1| Introducción, matriz, categorización de tareas, procesos; Módulo 4| PeTra- ejecutante;</t>
        </is>
      </c>
      <c r="M2" s="4" t="n">
        <v>2</v>
      </c>
      <c r="N2" s="4" t="inlineStr">
        <is>
          <t>No</t>
        </is>
      </c>
      <c r="O2" s="4" t="inlineStr">
        <is>
          <t>Ejecutante</t>
        </is>
      </c>
      <c r="P2" s="4" t="inlineStr">
        <is>
          <t>Módulo 1| Introducción, matriz, categorización de tareas, procesos; Módulo 4| PeTra- ejecutante;</t>
        </is>
      </c>
      <c r="Q2" s="4" t="inlineStr">
        <is>
          <t>Representante Técnico: se infiere personal contratista y se asigna Ejecutante</t>
        </is>
      </c>
      <c r="R2" s="4" t="inlineStr">
        <is>
          <t>Contratista</t>
        </is>
      </c>
      <c r="S2" s="4" t="inlineStr">
        <is>
          <t>Módulo 1| Introducción, matriz, categorización de tareas, procesos; Módulo 4| PeTra- ejecutante;</t>
        </is>
      </c>
      <c r="T2" s="4" t="inlineStr">
        <is>
          <t>Se consolidaron 2 registros</t>
        </is>
      </c>
      <c r="U2" s="7" t="inlineStr">
        <is>
          <t>OK</t>
        </is>
      </c>
    </row>
    <row r="3">
      <c r="A3" s="4" t="inlineStr">
        <is>
          <t>4</t>
        </is>
      </c>
      <c r="B3" s="5" t="n">
        <v>46205.42013888889</v>
      </c>
      <c r="C3" s="5" t="n">
        <v>46205.42013888889</v>
      </c>
      <c r="D3" s="5" t="n">
        <v>46205.42291666667</v>
      </c>
      <c r="E3" s="4" t="inlineStr">
        <is>
          <t>Gómez</t>
        </is>
      </c>
      <c r="F3" s="4" t="inlineStr">
        <is>
          <t>Laura</t>
        </is>
      </c>
      <c r="G3" s="4" t="inlineStr">
        <is>
          <t>32444555</t>
        </is>
      </c>
      <c r="H3" s="6" t="n">
        <v>46205</v>
      </c>
      <c r="I3" s="4" t="inlineStr">
        <is>
          <t>CILC</t>
        </is>
      </c>
      <c r="J3" s="4" t="inlineStr">
        <is>
          <t>Supervisor</t>
        </is>
      </c>
      <c r="K3" s="4" t="inlineStr">
        <is>
          <t>Personal propio YPF</t>
        </is>
      </c>
      <c r="L3" s="4" t="inlineStr">
        <is>
          <t>Módulo 1| Introducción, matriz, categorización de tareas, procesos; Módulo 4| PeTra-autorizante;</t>
        </is>
      </c>
      <c r="M3" s="4" t="n">
        <v>2</v>
      </c>
      <c r="N3" s="4" t="inlineStr">
        <is>
          <t>No</t>
        </is>
      </c>
      <c r="O3" s="4" t="inlineStr">
        <is>
          <t>Autorizante</t>
        </is>
      </c>
      <c r="P3" s="4" t="inlineStr">
        <is>
          <t>Módulo 1| Introducción, matriz, categorización de tareas, procesos; Módulo 4| PeTra- autorizante;</t>
        </is>
      </c>
      <c r="Q3" s="4" t="inlineStr">
        <is>
          <t>Personal propio YPF: SUPERVISOR</t>
        </is>
      </c>
      <c r="R3" s="4" t="inlineStr">
        <is>
          <t>Personal propio YPF</t>
        </is>
      </c>
      <c r="S3" s="4" t="inlineStr">
        <is>
          <t>Módulo 1| Introducción, matriz, categorización de tareas, procesos; Módulo 4| PeTra- autorizante;</t>
        </is>
      </c>
      <c r="T3" s="4" t="inlineStr">
        <is>
          <t>Se consolidaron 2 registros | Se completaron o reemplazaron los módulos según el rol asignado</t>
        </is>
      </c>
      <c r="U3" s="7" t="inlineStr">
        <is>
          <t>OK</t>
        </is>
      </c>
    </row>
    <row r="4">
      <c r="A4" s="4" t="inlineStr">
        <is>
          <t>7</t>
        </is>
      </c>
      <c r="B4" s="5" t="n">
        <v>46207.35416666666</v>
      </c>
      <c r="C4" s="5" t="n">
        <v>46207.35416666666</v>
      </c>
      <c r="D4" s="5" t="n">
        <v>46207.35763888889</v>
      </c>
      <c r="E4" s="4" t="inlineStr">
        <is>
          <t>López</t>
        </is>
      </c>
      <c r="F4" s="4" t="inlineStr">
        <is>
          <t>Carolina</t>
        </is>
      </c>
      <c r="G4" s="4" t="inlineStr">
        <is>
          <t>35666777</t>
        </is>
      </c>
      <c r="H4" s="6" t="n">
        <v>46207</v>
      </c>
      <c r="I4" s="4" t="inlineStr">
        <is>
          <t>CILC</t>
        </is>
      </c>
      <c r="J4" s="4" t="inlineStr">
        <is>
          <t>Mecánica</t>
        </is>
      </c>
      <c r="K4" s="4" t="inlineStr">
        <is>
          <t>Personal propio YPF</t>
        </is>
      </c>
      <c r="L4" s="4" t="inlineStr">
        <is>
          <t>Módulo 1| Introducción, matriz, categorización de tareas, procesos;</t>
        </is>
      </c>
      <c r="M4" s="4" t="n">
        <v>1</v>
      </c>
      <c r="N4" s="4" t="inlineStr">
        <is>
          <t>No</t>
        </is>
      </c>
      <c r="O4" s="4" t="inlineStr">
        <is>
          <t>Solicitante</t>
        </is>
      </c>
      <c r="P4" s="4" t="inlineStr">
        <is>
          <t>Módulo 1| Introducción, matriz, categorización de tareas, procesos; Módulo 4| PeTra- solicitante;</t>
        </is>
      </c>
      <c r="Q4" s="4" t="inlineStr">
        <is>
          <t>Personal propio YPF: MECANICA</t>
        </is>
      </c>
      <c r="R4" s="4" t="inlineStr">
        <is>
          <t>Personal propio YPF</t>
        </is>
      </c>
      <c r="S4" s="4" t="inlineStr">
        <is>
          <t>Módulo 1| Introducción, matriz, categorización de tareas, procesos; Módulo 4| PeTra- solicitante;</t>
        </is>
      </c>
      <c r="T4" s="4" t="inlineStr">
        <is>
          <t>Se completaron o reemplazaron los módulos según el rol asignado</t>
        </is>
      </c>
      <c r="U4" s="7" t="inlineStr">
        <is>
          <t>OK</t>
        </is>
      </c>
    </row>
    <row r="5">
      <c r="A5" s="4" t="inlineStr">
        <is>
          <t>2</t>
        </is>
      </c>
      <c r="B5" s="5" t="n">
        <v>46204.37916666667</v>
      </c>
      <c r="C5" s="5" t="n">
        <v>46204.37916666667</v>
      </c>
      <c r="D5" s="5" t="n">
        <v>46204.38194444445</v>
      </c>
      <c r="E5" s="4" t="inlineStr">
        <is>
          <t>Pérez</t>
        </is>
      </c>
      <c r="F5" s="4" t="inlineStr">
        <is>
          <t>Martín</t>
        </is>
      </c>
      <c r="G5" s="4" t="inlineStr">
        <is>
          <t>30111222</t>
        </is>
      </c>
      <c r="H5" s="6" t="n">
        <v>46204</v>
      </c>
      <c r="I5" s="4" t="inlineStr">
        <is>
          <t>CILC</t>
        </is>
      </c>
      <c r="J5" s="4" t="inlineStr">
        <is>
          <t>Operador de Campo</t>
        </is>
      </c>
      <c r="K5" s="4" t="inlineStr">
        <is>
          <t>Personal propio YPF</t>
        </is>
      </c>
      <c r="L5" s="4" t="inlineStr">
        <is>
          <t>Módulo 1| Introducción, matriz, categorización de tareas, procesos; Módulo 4| PeTra-emisor;</t>
        </is>
      </c>
      <c r="M5" s="4" t="n">
        <v>2</v>
      </c>
      <c r="N5" s="4" t="inlineStr">
        <is>
          <t>No</t>
        </is>
      </c>
      <c r="O5" s="4" t="inlineStr">
        <is>
          <t>Emisor</t>
        </is>
      </c>
      <c r="P5" s="4" t="inlineStr">
        <is>
          <t>Módulo 1| Introducción, matriz, categorización de tareas, procesos; Módulo 4| PeTra-emisor;</t>
        </is>
      </c>
      <c r="Q5" s="4" t="inlineStr">
        <is>
          <t>Personal propio YPF: OPERADOR DE CAMPO</t>
        </is>
      </c>
      <c r="R5" s="4" t="inlineStr">
        <is>
          <t>Personal propio YPF</t>
        </is>
      </c>
      <c r="S5" s="4" t="inlineStr">
        <is>
          <t>Módulo 1| Introducción, matriz, categorización de tareas, procesos; Módulo 4| PeTra-emisor;</t>
        </is>
      </c>
      <c r="T5" s="4" t="inlineStr">
        <is>
          <t>Se consolidaron 2 registros</t>
        </is>
      </c>
      <c r="U5" s="7" t="inlineStr">
        <is>
          <t>OK</t>
        </is>
      </c>
    </row>
    <row r="6">
      <c r="A6" s="4" t="inlineStr">
        <is>
          <t>9</t>
        </is>
      </c>
      <c r="B6" s="5" t="n">
        <v>46209.625</v>
      </c>
      <c r="C6" s="5" t="n">
        <v>46209.625</v>
      </c>
      <c r="D6" s="5" t="n">
        <v>46209.62847222222</v>
      </c>
      <c r="E6" s="4" t="inlineStr">
        <is>
          <t>Ramírez</t>
        </is>
      </c>
      <c r="F6" s="4" t="inlineStr">
        <is>
          <t>Julieta</t>
        </is>
      </c>
      <c r="G6" s="4" t="inlineStr">
        <is>
          <t>37123456</t>
        </is>
      </c>
      <c r="H6" s="6" t="n">
        <v>46209</v>
      </c>
      <c r="I6" s="4" t="inlineStr">
        <is>
          <t>CILC</t>
        </is>
      </c>
      <c r="J6" s="4" t="inlineStr">
        <is>
          <t>Obra civil</t>
        </is>
      </c>
      <c r="K6" s="4" t="inlineStr">
        <is>
          <t>Personal propio YPF</t>
        </is>
      </c>
      <c r="L6" s="4" t="inlineStr">
        <is>
          <t>Módulo 1| Introducción, matriz, categorización de tareas, procesos;</t>
        </is>
      </c>
      <c r="M6" s="4" t="n">
        <v>1</v>
      </c>
      <c r="N6" s="4" t="inlineStr">
        <is>
          <t>No</t>
        </is>
      </c>
      <c r="O6" s="4" t="inlineStr">
        <is>
          <t>Solicitante</t>
        </is>
      </c>
      <c r="P6" s="4" t="inlineStr">
        <is>
          <t>Módulo 1| Introducción, matriz, categorización de tareas, procesos; Módulo 4| PeTra- solicitante;</t>
        </is>
      </c>
      <c r="Q6" s="4" t="inlineStr">
        <is>
          <t>Personal propio YPF: OBRA CIVIL</t>
        </is>
      </c>
      <c r="R6" s="4" t="inlineStr">
        <is>
          <t>Personal propio YPF</t>
        </is>
      </c>
      <c r="S6" s="4" t="inlineStr">
        <is>
          <t>Módulo 1| Introducción, matriz, categorización de tareas, procesos; Módulo 4| PeTra- solicitante;</t>
        </is>
      </c>
      <c r="T6" s="4" t="inlineStr">
        <is>
          <t>Se completaron o reemplazaron los módulos según el rol asignado</t>
        </is>
      </c>
      <c r="U6" s="7" t="inlineStr">
        <is>
          <t>OK</t>
        </is>
      </c>
    </row>
    <row r="7">
      <c r="A7" s="4" t="inlineStr">
        <is>
          <t>8</t>
        </is>
      </c>
      <c r="B7" s="5" t="n">
        <v>46208.58333333334</v>
      </c>
      <c r="C7" s="5" t="n">
        <v>46208.58333333334</v>
      </c>
      <c r="D7" s="5" t="n">
        <v>46208.58680555555</v>
      </c>
      <c r="E7" s="4" t="inlineStr">
        <is>
          <t>Sosa</t>
        </is>
      </c>
      <c r="F7" s="4" t="inlineStr">
        <is>
          <t>Nicolás</t>
        </is>
      </c>
      <c r="G7" s="4" t="inlineStr">
        <is>
          <t>33888999</t>
        </is>
      </c>
      <c r="H7" s="6" t="n">
        <v>46208</v>
      </c>
      <c r="I7" s="4" t="inlineStr">
        <is>
          <t>CILC</t>
        </is>
      </c>
      <c r="J7" s="4" t="inlineStr">
        <is>
          <t>Analista Medio ambiente</t>
        </is>
      </c>
      <c r="K7" s="4" t="inlineStr">
        <is>
          <t>Personal propio YPF</t>
        </is>
      </c>
      <c r="L7" s="4" t="inlineStr">
        <is>
          <t>Módulo 1| Introducción, matriz, categorización de tareas, procesos;</t>
        </is>
      </c>
      <c r="M7" s="4" t="n">
        <v>1</v>
      </c>
      <c r="N7" s="4" t="inlineStr">
        <is>
          <t>No</t>
        </is>
      </c>
      <c r="O7" s="4" t="inlineStr">
        <is>
          <t>Analista de Seguridad</t>
        </is>
      </c>
      <c r="P7" s="4" t="inlineStr">
        <is>
          <t>Módulo 1| Introducción, matriz, categorización de tareas, procesos; Módulo 4| PeTra- analista de gases;</t>
        </is>
      </c>
      <c r="Q7" s="4" t="inlineStr">
        <is>
          <t>Personal propio YPF: ANALISTA DE SEGURIDAD</t>
        </is>
      </c>
      <c r="R7" s="4" t="inlineStr">
        <is>
          <t>Personal propio YPF</t>
        </is>
      </c>
      <c r="S7" s="4" t="inlineStr">
        <is>
          <t>Módulo 1| Introducción, matriz, categorización de tareas, procesos; Módulo 4| PeTra- analista de gases;</t>
        </is>
      </c>
      <c r="T7" s="4" t="inlineStr">
        <is>
          <t>Se completaron o reemplazaron los módulos según el rol asignado</t>
        </is>
      </c>
      <c r="U7" s="7" t="inlineStr">
        <is>
          <t>OK</t>
        </is>
      </c>
    </row>
    <row r="8">
      <c r="A8" s="4" t="inlineStr">
        <is>
          <t>10</t>
        </is>
      </c>
      <c r="B8" s="5" t="n">
        <v>46210.66666666666</v>
      </c>
      <c r="C8" s="5" t="n">
        <v>46210.66666666666</v>
      </c>
      <c r="D8" s="5" t="n">
        <v>46210.67013888889</v>
      </c>
      <c r="E8" s="4" t="inlineStr">
        <is>
          <t>Torres</t>
        </is>
      </c>
      <c r="F8" s="4" t="inlineStr">
        <is>
          <t>Andrés</t>
        </is>
      </c>
      <c r="G8" s="4" t="inlineStr">
        <is>
          <t>26987654</t>
        </is>
      </c>
      <c r="H8" s="6" t="n">
        <v>46210</v>
      </c>
      <c r="I8" s="4" t="inlineStr">
        <is>
          <t>CILC</t>
        </is>
      </c>
      <c r="J8" s="4" t="inlineStr">
        <is>
          <t>Administrador de obra</t>
        </is>
      </c>
      <c r="K8" s="4" t="inlineStr"/>
      <c r="L8" s="4" t="inlineStr">
        <is>
          <t>Módulo 1| Introducción, matriz, categorización de tareas, procesos;</t>
        </is>
      </c>
      <c r="M8" s="4" t="n">
        <v>1</v>
      </c>
      <c r="N8" s="4" t="inlineStr">
        <is>
          <t>No</t>
        </is>
      </c>
      <c r="O8" s="4" t="inlineStr">
        <is>
          <t>Solicitante</t>
        </is>
      </c>
      <c r="P8" s="4" t="inlineStr">
        <is>
          <t>Módulo 1| Introducción, matriz, categorización de tareas, procesos; Módulo 4| PeTra- solicitante;</t>
        </is>
      </c>
      <c r="Q8" s="4" t="inlineStr">
        <is>
          <t>Empleador vacío: se infiere personal propio YPF por cargo reconocido: ADMINISTRADOR DE OBRA</t>
        </is>
      </c>
      <c r="R8" s="4" t="inlineStr">
        <is>
          <t>Personal propio YPF</t>
        </is>
      </c>
      <c r="S8" s="4" t="inlineStr">
        <is>
          <t>Módulo 1| Introducción, matriz, categorización de tareas, procesos; Módulo 4| PeTra- solicitante;</t>
        </is>
      </c>
      <c r="T8" s="4" t="inlineStr">
        <is>
          <t>Se completaron o reemplazaron los módulos según el rol asignado</t>
        </is>
      </c>
      <c r="U8" s="7" t="inlineStr">
        <is>
          <t>OK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6" customWidth="1" min="4" max="4"/>
    <col width="11" customWidth="1" min="5" max="5"/>
    <col width="9" customWidth="1" min="6" max="6"/>
    <col width="6" customWidth="1" min="7" max="7"/>
    <col width="21" customWidth="1" min="8" max="8"/>
    <col width="11" customWidth="1" min="9" max="9"/>
    <col width="8" customWidth="1" min="10" max="10"/>
    <col width="16" customWidth="1" min="11" max="11"/>
    <col width="21" customWidth="1" min="12" max="12"/>
    <col width="24" customWidth="1" min="13" max="13"/>
    <col width="18" customWidth="1" min="14" max="14"/>
    <col width="15" customWidth="1" min="15" max="15"/>
    <col width="20" customWidth="1" min="16" max="16"/>
    <col width="17" customWidth="1" min="17" max="17"/>
    <col width="26" customWidth="1" min="18" max="18"/>
    <col width="21" customWidth="1" min="19" max="19"/>
    <col width="23" customWidth="1" min="20" max="20"/>
    <col width="9" customWidth="1" min="21" max="21"/>
  </cols>
  <sheetData>
    <row r="1" ht="32" customHeight="1">
      <c r="A1" s="3" t="inlineStr">
        <is>
          <t>ID</t>
        </is>
      </c>
      <c r="B1" s="3" t="inlineStr">
        <is>
          <t>Inicio original</t>
        </is>
      </c>
      <c r="C1" s="3" t="inlineStr">
        <is>
          <t>Inicio</t>
        </is>
      </c>
      <c r="D1" s="3" t="inlineStr">
        <is>
          <t>Fin</t>
        </is>
      </c>
      <c r="E1" s="3" t="inlineStr">
        <is>
          <t>Apellido</t>
        </is>
      </c>
      <c r="F1" s="3" t="inlineStr">
        <is>
          <t>Nombre</t>
        </is>
      </c>
      <c r="G1" s="3" t="inlineStr">
        <is>
          <t>DNI</t>
        </is>
      </c>
      <c r="H1" s="3" t="inlineStr">
        <is>
          <t>Fecha capacitación</t>
        </is>
      </c>
      <c r="I1" s="3" t="inlineStr">
        <is>
          <t>Complejo</t>
        </is>
      </c>
      <c r="J1" s="3" t="inlineStr">
        <is>
          <t>Cargo</t>
        </is>
      </c>
      <c r="K1" s="3" t="inlineStr">
        <is>
          <t>Tipo personal</t>
        </is>
      </c>
      <c r="L1" s="3" t="inlineStr">
        <is>
          <t>Módulos originales</t>
        </is>
      </c>
      <c r="M1" s="3" t="inlineStr">
        <is>
          <t>Cantidad de registros</t>
        </is>
      </c>
      <c r="N1" s="3" t="inlineStr">
        <is>
          <t>Fecha corregida</t>
        </is>
      </c>
      <c r="O1" s="3" t="inlineStr">
        <is>
          <t>Rol asignado</t>
        </is>
      </c>
      <c r="P1" s="3" t="inlineStr">
        <is>
          <t>Módulos esperados</t>
        </is>
      </c>
      <c r="Q1" s="3" t="inlineStr">
        <is>
          <t>Regla aplicada</t>
        </is>
      </c>
      <c r="R1" s="3" t="inlineStr">
        <is>
          <t>Tipo personal corregido</t>
        </is>
      </c>
      <c r="S1" s="3" t="inlineStr">
        <is>
          <t>Módulos corregidos</t>
        </is>
      </c>
      <c r="T1" s="3" t="inlineStr">
        <is>
          <t>Corrección realizada</t>
        </is>
      </c>
      <c r="U1" s="3" t="inlineStr">
        <is>
          <t>Estado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</cols>
  <sheetData>
    <row r="1" ht="32" customHeight="1">
      <c r="A1" s="3" t="inlineStr">
        <is>
          <t>Indicador</t>
        </is>
      </c>
      <c r="B1" s="3" t="inlineStr">
        <is>
          <t>Cantidad</t>
        </is>
      </c>
    </row>
    <row r="2">
      <c r="A2" s="4" t="inlineStr">
        <is>
          <t>Usuarios únicos</t>
        </is>
      </c>
      <c r="B2" s="4" t="n">
        <v>7</v>
      </c>
    </row>
    <row r="3">
      <c r="A3" s="4" t="inlineStr">
        <is>
          <t>Duplicados consolidados</t>
        </is>
      </c>
      <c r="B3" s="4" t="n">
        <v>3</v>
      </c>
    </row>
    <row r="4">
      <c r="A4" s="4" t="inlineStr">
        <is>
          <t>Fechas corregidas</t>
        </is>
      </c>
      <c r="B4" s="4" t="n">
        <v>0</v>
      </c>
    </row>
    <row r="5">
      <c r="A5" s="4" t="inlineStr">
        <is>
          <t>Pendientes de revisión</t>
        </is>
      </c>
      <c r="B5" s="4" t="n">
        <v>0</v>
      </c>
    </row>
    <row r="6">
      <c r="A6" s="4" t="inlineStr">
        <is>
          <t>Emisor</t>
        </is>
      </c>
      <c r="B6" s="4" t="n">
        <v>1</v>
      </c>
    </row>
    <row r="7">
      <c r="A7" s="4" t="inlineStr">
        <is>
          <t>Solicitante</t>
        </is>
      </c>
      <c r="B7" s="4" t="n">
        <v>3</v>
      </c>
    </row>
    <row r="8">
      <c r="A8" s="4" t="inlineStr">
        <is>
          <t>Verificador</t>
        </is>
      </c>
      <c r="B8" s="4" t="n">
        <v>0</v>
      </c>
    </row>
    <row r="9">
      <c r="A9" s="4" t="inlineStr">
        <is>
          <t>Ejecutante</t>
        </is>
      </c>
      <c r="B9" s="4" t="n">
        <v>1</v>
      </c>
    </row>
    <row r="10">
      <c r="A10" s="4" t="inlineStr">
        <is>
          <t>Formación de formadores</t>
        </is>
      </c>
      <c r="B10" s="4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</cols>
  <sheetData>
    <row r="1" ht="32" customHeight="1">
      <c r="A1" s="3" t="inlineStr">
        <is>
          <t>Rol asignado</t>
        </is>
      </c>
      <c r="B1" s="3" t="inlineStr">
        <is>
          <t>Cantidad</t>
        </is>
      </c>
    </row>
    <row r="2">
      <c r="A2" s="4" t="inlineStr">
        <is>
          <t>Solicitante</t>
        </is>
      </c>
      <c r="B2" s="4" t="n">
        <v>3</v>
      </c>
    </row>
    <row r="3">
      <c r="A3" s="4" t="inlineStr">
        <is>
          <t>Analista de Seguridad</t>
        </is>
      </c>
      <c r="B3" s="4" t="n">
        <v>1</v>
      </c>
    </row>
    <row r="4">
      <c r="A4" s="4" t="inlineStr">
        <is>
          <t>Autorizante</t>
        </is>
      </c>
      <c r="B4" s="4" t="n">
        <v>1</v>
      </c>
    </row>
    <row r="5">
      <c r="A5" s="4" t="inlineStr">
        <is>
          <t>Ejecutante</t>
        </is>
      </c>
      <c r="B5" s="4" t="n">
        <v>1</v>
      </c>
    </row>
    <row r="6">
      <c r="A6" s="4" t="inlineStr">
        <is>
          <t>Emisor</t>
        </is>
      </c>
      <c r="B6" s="4" t="n">
        <v>1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</cols>
  <sheetData>
    <row r="1" ht="32" customHeight="1">
      <c r="A1" s="3" t="inlineStr">
        <is>
          <t>Cargo</t>
        </is>
      </c>
      <c r="B1" s="3" t="inlineStr">
        <is>
          <t>Cantidad</t>
        </is>
      </c>
    </row>
    <row r="2">
      <c r="A2" s="4" t="inlineStr">
        <is>
          <t>Administrador de obra</t>
        </is>
      </c>
      <c r="B2" s="4" t="n">
        <v>1</v>
      </c>
    </row>
    <row r="3">
      <c r="A3" s="4" t="inlineStr">
        <is>
          <t>Analista Medio ambiente</t>
        </is>
      </c>
      <c r="B3" s="4" t="n">
        <v>1</v>
      </c>
    </row>
    <row r="4">
      <c r="A4" s="4" t="inlineStr">
        <is>
          <t>Mecánica</t>
        </is>
      </c>
      <c r="B4" s="4" t="n">
        <v>1</v>
      </c>
    </row>
    <row r="5">
      <c r="A5" s="4" t="inlineStr">
        <is>
          <t>Obra civil</t>
        </is>
      </c>
      <c r="B5" s="4" t="n">
        <v>1</v>
      </c>
    </row>
    <row r="6">
      <c r="A6" s="4" t="inlineStr">
        <is>
          <t>Operador de Campo</t>
        </is>
      </c>
      <c r="B6" s="4" t="n">
        <v>1</v>
      </c>
    </row>
    <row r="7">
      <c r="A7" s="4" t="inlineStr">
        <is>
          <t>Representante Técnico</t>
        </is>
      </c>
      <c r="B7" s="4" t="n">
        <v>1</v>
      </c>
    </row>
    <row r="8">
      <c r="A8" s="4" t="inlineStr">
        <is>
          <t>Supervisor</t>
        </is>
      </c>
      <c r="B8" s="4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</cols>
  <sheetData>
    <row r="1" ht="32" customHeight="1">
      <c r="A1" s="3" t="inlineStr">
        <is>
          <t>Tipo personal</t>
        </is>
      </c>
      <c r="B1" s="3" t="inlineStr">
        <is>
          <t>Cantidad</t>
        </is>
      </c>
    </row>
    <row r="2">
      <c r="A2" s="4" t="inlineStr">
        <is>
          <t>Personal propio YPF</t>
        </is>
      </c>
      <c r="B2" s="4" t="n">
        <v>6</v>
      </c>
    </row>
    <row r="3">
      <c r="A3" s="4" t="inlineStr">
        <is>
          <t>Contratista</t>
        </is>
      </c>
      <c r="B3" s="4" t="n">
        <v>1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</cols>
  <sheetData>
    <row r="1" ht="32" customHeight="1">
      <c r="A1" s="3" t="inlineStr">
        <is>
          <t>Fecha</t>
        </is>
      </c>
      <c r="B1" s="3" t="inlineStr">
        <is>
          <t>Cantidad</t>
        </is>
      </c>
    </row>
    <row r="2">
      <c r="A2" s="8" t="n">
        <v>46204</v>
      </c>
      <c r="B2" s="4" t="n">
        <v>1</v>
      </c>
    </row>
    <row r="3">
      <c r="A3" s="8" t="n">
        <v>46205</v>
      </c>
      <c r="B3" s="4" t="n">
        <v>1</v>
      </c>
    </row>
    <row r="4">
      <c r="A4" s="8" t="n">
        <v>46206</v>
      </c>
      <c r="B4" s="4" t="n">
        <v>1</v>
      </c>
    </row>
    <row r="5">
      <c r="A5" s="8" t="n">
        <v>46207</v>
      </c>
      <c r="B5" s="4" t="n">
        <v>1</v>
      </c>
    </row>
    <row r="6">
      <c r="A6" s="8" t="n">
        <v>46208</v>
      </c>
      <c r="B6" s="4" t="n">
        <v>1</v>
      </c>
    </row>
    <row r="7">
      <c r="A7" s="8" t="n">
        <v>46209</v>
      </c>
      <c r="B7" s="4" t="n">
        <v>1</v>
      </c>
    </row>
    <row r="8">
      <c r="A8" s="8" t="n">
        <v>46210</v>
      </c>
      <c r="B8" s="4" t="n">
        <v>1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2026-07-20T18:38:46Z</dcterms:created>
  <dcterms:modified xsi:type="dcterms:W3CDTF">2026-07-20T18:38:46Z</dcterms:modified>
</cp:coreProperties>
</file>